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L calculator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Food_name</t>
        </is>
      </c>
      <c r="B1" t="inlineStr">
        <is>
          <t>Serving_g</t>
        </is>
      </c>
      <c r="C1" t="inlineStr">
        <is>
          <t>Carbs_g</t>
        </is>
      </c>
      <c r="D1" t="inlineStr">
        <is>
          <t>Fiber_g</t>
        </is>
      </c>
      <c r="E1" t="inlineStr">
        <is>
          <t>Protein_g</t>
        </is>
      </c>
      <c r="F1" t="inlineStr">
        <is>
          <t>Fat_g</t>
        </is>
      </c>
      <c r="G1" t="inlineStr">
        <is>
          <t>AvailableCarbs_g (=Carbs-Fiber)</t>
        </is>
      </c>
      <c r="H1" t="inlineStr">
        <is>
          <t>eGL_pred (Foods 2021 model)</t>
        </is>
      </c>
      <c r="I1" t="inlineStr">
        <is>
          <t>GL_category</t>
        </is>
      </c>
    </row>
    <row r="2">
      <c r="G2">
        <f>C2-D2</f>
        <v/>
      </c>
      <c r="H2">
        <f>19.27+0.39*G2-0.21*F2-0.01*E2^2-0.01*D2^2</f>
        <v/>
      </c>
      <c r="I2">
        <f>IF(ISBLANK(H2),"",IF(H2&lt;=10,"Low (&lt;=10)",IF(H2&lt;20,"Medium (11-19)","High (&gt;=20)")))</f>
        <v/>
      </c>
    </row>
    <row r="3">
      <c r="G3">
        <f>C3-D3</f>
        <v/>
      </c>
      <c r="H3">
        <f>19.27+0.39*G3-0.21*F3-0.01*E3^2-0.01*D3^2</f>
        <v/>
      </c>
      <c r="I3">
        <f>IF(ISBLANK(H3),"",IF(H3&lt;=10,"Low (&lt;=10)",IF(H3&lt;20,"Medium (11-19)","High (&gt;=20)")))</f>
        <v/>
      </c>
    </row>
    <row r="4">
      <c r="G4">
        <f>C4-D4</f>
        <v/>
      </c>
      <c r="H4">
        <f>19.27+0.39*G4-0.21*F4-0.01*E4^2-0.01*D4^2</f>
        <v/>
      </c>
      <c r="I4">
        <f>IF(ISBLANK(H4),"",IF(H4&lt;=10,"Low (&lt;=10)",IF(H4&lt;20,"Medium (11-19)","High (&gt;=20)")))</f>
        <v/>
      </c>
    </row>
    <row r="5">
      <c r="G5">
        <f>C5-D5</f>
        <v/>
      </c>
      <c r="H5">
        <f>19.27+0.39*G5-0.21*F5-0.01*E5^2-0.01*D5^2</f>
        <v/>
      </c>
      <c r="I5">
        <f>IF(ISBLANK(H5),"",IF(H5&lt;=10,"Low (&lt;=10)",IF(H5&lt;20,"Medium (11-19)","High (&gt;=20)")))</f>
        <v/>
      </c>
    </row>
    <row r="6">
      <c r="G6">
        <f>C6-D6</f>
        <v/>
      </c>
      <c r="H6">
        <f>19.27+0.39*G6-0.21*F6-0.01*E6^2-0.01*D6^2</f>
        <v/>
      </c>
      <c r="I6">
        <f>IF(ISBLANK(H6),"",IF(H6&lt;=10,"Low (&lt;=10)",IF(H6&lt;20,"Medium (11-19)","High (&gt;=20)")))</f>
        <v/>
      </c>
    </row>
    <row r="7">
      <c r="G7">
        <f>C7-D7</f>
        <v/>
      </c>
      <c r="H7">
        <f>19.27+0.39*G7-0.21*F7-0.01*E7^2-0.01*D7^2</f>
        <v/>
      </c>
      <c r="I7">
        <f>IF(ISBLANK(H7),"",IF(H7&lt;=10,"Low (&lt;=10)",IF(H7&lt;20,"Medium (11-19)","High (&gt;=20)")))</f>
        <v/>
      </c>
    </row>
    <row r="8">
      <c r="G8">
        <f>C8-D8</f>
        <v/>
      </c>
      <c r="H8">
        <f>19.27+0.39*G8-0.21*F8-0.01*E8^2-0.01*D8^2</f>
        <v/>
      </c>
      <c r="I8">
        <f>IF(ISBLANK(H8),"",IF(H8&lt;=10,"Low (&lt;=10)",IF(H8&lt;20,"Medium (11-19)","High (&gt;=20)")))</f>
        <v/>
      </c>
    </row>
    <row r="9">
      <c r="G9">
        <f>C9-D9</f>
        <v/>
      </c>
      <c r="H9">
        <f>19.27+0.39*G9-0.21*F9-0.01*E9^2-0.01*D9^2</f>
        <v/>
      </c>
      <c r="I9">
        <f>IF(ISBLANK(H9),"",IF(H9&lt;=10,"Low (&lt;=10)",IF(H9&lt;20,"Medium (11-19)","High (&gt;=20)")))</f>
        <v/>
      </c>
    </row>
    <row r="10">
      <c r="G10">
        <f>C10-D10</f>
        <v/>
      </c>
      <c r="H10">
        <f>19.27+0.39*G10-0.21*F10-0.01*E10^2-0.01*D10^2</f>
        <v/>
      </c>
      <c r="I10">
        <f>IF(ISBLANK(H10),"",IF(H10&lt;=10,"Low (&lt;=10)",IF(H10&lt;20,"Medium (11-19)","High (&gt;=20)")))</f>
        <v/>
      </c>
    </row>
    <row r="11">
      <c r="G11">
        <f>C11-D11</f>
        <v/>
      </c>
      <c r="H11">
        <f>19.27+0.39*G11-0.21*F11-0.01*E11^2-0.01*D11^2</f>
        <v/>
      </c>
      <c r="I11">
        <f>IF(ISBLANK(H11),"",IF(H11&lt;=10,"Low (&lt;=10)",IF(H11&lt;20,"Medium (11-19)","High (&gt;=20)")))</f>
        <v/>
      </c>
    </row>
    <row r="12">
      <c r="G12">
        <f>C12-D12</f>
        <v/>
      </c>
      <c r="H12">
        <f>19.27+0.39*G12-0.21*F12-0.01*E12^2-0.01*D12^2</f>
        <v/>
      </c>
      <c r="I12">
        <f>IF(ISBLANK(H12),"",IF(H12&lt;=10,"Low (&lt;=10)",IF(H12&lt;20,"Medium (11-19)","High (&gt;=20)")))</f>
        <v/>
      </c>
    </row>
    <row r="13">
      <c r="G13">
        <f>C13-D13</f>
        <v/>
      </c>
      <c r="H13">
        <f>19.27+0.39*G13-0.21*F13-0.01*E13^2-0.01*D13^2</f>
        <v/>
      </c>
      <c r="I13">
        <f>IF(ISBLANK(H13),"",IF(H13&lt;=10,"Low (&lt;=10)",IF(H13&lt;20,"Medium (11-19)","High (&gt;=20)")))</f>
        <v/>
      </c>
    </row>
    <row r="14">
      <c r="G14">
        <f>C14-D14</f>
        <v/>
      </c>
      <c r="H14">
        <f>19.27+0.39*G14-0.21*F14-0.01*E14^2-0.01*D14^2</f>
        <v/>
      </c>
      <c r="I14">
        <f>IF(ISBLANK(H14),"",IF(H14&lt;=10,"Low (&lt;=10)",IF(H14&lt;20,"Medium (11-19)","High (&gt;=20)")))</f>
        <v/>
      </c>
    </row>
    <row r="15">
      <c r="G15">
        <f>C15-D15</f>
        <v/>
      </c>
      <c r="H15">
        <f>19.27+0.39*G15-0.21*F15-0.01*E15^2-0.01*D15^2</f>
        <v/>
      </c>
      <c r="I15">
        <f>IF(ISBLANK(H15),"",IF(H15&lt;=10,"Low (&lt;=10)",IF(H15&lt;20,"Medium (11-19)","High (&gt;=20)")))</f>
        <v/>
      </c>
    </row>
    <row r="16">
      <c r="G16">
        <f>C16-D16</f>
        <v/>
      </c>
      <c r="H16">
        <f>19.27+0.39*G16-0.21*F16-0.01*E16^2-0.01*D16^2</f>
        <v/>
      </c>
      <c r="I16">
        <f>IF(ISBLANK(H16),"",IF(H16&lt;=10,"Low (&lt;=10)",IF(H16&lt;20,"Medium (11-19)","High (&gt;=20)")))</f>
        <v/>
      </c>
    </row>
    <row r="17">
      <c r="G17">
        <f>C17-D17</f>
        <v/>
      </c>
      <c r="H17">
        <f>19.27+0.39*G17-0.21*F17-0.01*E17^2-0.01*D17^2</f>
        <v/>
      </c>
      <c r="I17">
        <f>IF(ISBLANK(H17),"",IF(H17&lt;=10,"Low (&lt;=10)",IF(H17&lt;20,"Medium (11-19)","High (&gt;=20)")))</f>
        <v/>
      </c>
    </row>
    <row r="18">
      <c r="G18">
        <f>C18-D18</f>
        <v/>
      </c>
      <c r="H18">
        <f>19.27+0.39*G18-0.21*F18-0.01*E18^2-0.01*D18^2</f>
        <v/>
      </c>
      <c r="I18">
        <f>IF(ISBLANK(H18),"",IF(H18&lt;=10,"Low (&lt;=10)",IF(H18&lt;20,"Medium (11-19)","High (&gt;=20)")))</f>
        <v/>
      </c>
    </row>
    <row r="19">
      <c r="G19">
        <f>C19-D19</f>
        <v/>
      </c>
      <c r="H19">
        <f>19.27+0.39*G19-0.21*F19-0.01*E19^2-0.01*D19^2</f>
        <v/>
      </c>
      <c r="I19">
        <f>IF(ISBLANK(H19),"",IF(H19&lt;=10,"Low (&lt;=10)",IF(H19&lt;20,"Medium (11-19)","High (&gt;=20)")))</f>
        <v/>
      </c>
    </row>
    <row r="20">
      <c r="G20">
        <f>C20-D20</f>
        <v/>
      </c>
      <c r="H20">
        <f>19.27+0.39*G20-0.21*F20-0.01*E20^2-0.01*D20^2</f>
        <v/>
      </c>
      <c r="I20">
        <f>IF(ISBLANK(H20),"",IF(H20&lt;=10,"Low (&lt;=10)",IF(H20&lt;20,"Medium (11-19)","High (&gt;=20)")))</f>
        <v/>
      </c>
    </row>
    <row r="21">
      <c r="G21">
        <f>C21-D21</f>
        <v/>
      </c>
      <c r="H21">
        <f>19.27+0.39*G21-0.21*F21-0.01*E21^2-0.01*D21^2</f>
        <v/>
      </c>
      <c r="I21">
        <f>IF(ISBLANK(H21),"",IF(H21&lt;=10,"Low (&lt;=10)",IF(H21&lt;20,"Medium (11-19)","High (&gt;=20)")))</f>
        <v/>
      </c>
    </row>
    <row r="22">
      <c r="G22">
        <f>C22-D22</f>
        <v/>
      </c>
      <c r="H22">
        <f>19.27+0.39*G22-0.21*F22-0.01*E22^2-0.01*D22^2</f>
        <v/>
      </c>
      <c r="I22">
        <f>IF(ISBLANK(H22),"",IF(H22&lt;=10,"Low (&lt;=10)",IF(H22&lt;20,"Medium (11-19)","High (&gt;=20)")))</f>
        <v/>
      </c>
    </row>
    <row r="23">
      <c r="G23">
        <f>C23-D23</f>
        <v/>
      </c>
      <c r="H23">
        <f>19.27+0.39*G23-0.21*F23-0.01*E23^2-0.01*D23^2</f>
        <v/>
      </c>
      <c r="I23">
        <f>IF(ISBLANK(H23),"",IF(H23&lt;=10,"Low (&lt;=10)",IF(H23&lt;20,"Medium (11-19)","High (&gt;=20)")))</f>
        <v/>
      </c>
    </row>
    <row r="24">
      <c r="G24">
        <f>C24-D24</f>
        <v/>
      </c>
      <c r="H24">
        <f>19.27+0.39*G24-0.21*F24-0.01*E24^2-0.01*D24^2</f>
        <v/>
      </c>
      <c r="I24">
        <f>IF(ISBLANK(H24),"",IF(H24&lt;=10,"Low (&lt;=10)",IF(H24&lt;20,"Medium (11-19)","High (&gt;=20)")))</f>
        <v/>
      </c>
    </row>
    <row r="25">
      <c r="G25">
        <f>C25-D25</f>
        <v/>
      </c>
      <c r="H25">
        <f>19.27+0.39*G25-0.21*F25-0.01*E25^2-0.01*D25^2</f>
        <v/>
      </c>
      <c r="I25">
        <f>IF(ISBLANK(H25),"",IF(H25&lt;=10,"Low (&lt;=10)",IF(H25&lt;20,"Medium (11-19)","High (&gt;=20)")))</f>
        <v/>
      </c>
    </row>
    <row r="26">
      <c r="G26">
        <f>C26-D26</f>
        <v/>
      </c>
      <c r="H26">
        <f>19.27+0.39*G26-0.21*F26-0.01*E26^2-0.01*D26^2</f>
        <v/>
      </c>
      <c r="I26">
        <f>IF(ISBLANK(H26),"",IF(H26&lt;=10,"Low (&lt;=10)",IF(H26&lt;20,"Medium (11-19)","High (&gt;=20)")))</f>
        <v/>
      </c>
    </row>
    <row r="27">
      <c r="G27">
        <f>C27-D27</f>
        <v/>
      </c>
      <c r="H27">
        <f>19.27+0.39*G27-0.21*F27-0.01*E27^2-0.01*D27^2</f>
        <v/>
      </c>
      <c r="I27">
        <f>IF(ISBLANK(H27),"",IF(H27&lt;=10,"Low (&lt;=10)",IF(H27&lt;20,"Medium (11-19)","High (&gt;=20)")))</f>
        <v/>
      </c>
    </row>
    <row r="28">
      <c r="G28">
        <f>C28-D28</f>
        <v/>
      </c>
      <c r="H28">
        <f>19.27+0.39*G28-0.21*F28-0.01*E28^2-0.01*D28^2</f>
        <v/>
      </c>
      <c r="I28">
        <f>IF(ISBLANK(H28),"",IF(H28&lt;=10,"Low (&lt;=10)",IF(H28&lt;20,"Medium (11-19)","High (&gt;=20)")))</f>
        <v/>
      </c>
    </row>
    <row r="29">
      <c r="G29">
        <f>C29-D29</f>
        <v/>
      </c>
      <c r="H29">
        <f>19.27+0.39*G29-0.21*F29-0.01*E29^2-0.01*D29^2</f>
        <v/>
      </c>
      <c r="I29">
        <f>IF(ISBLANK(H29),"",IF(H29&lt;=10,"Low (&lt;=10)",IF(H29&lt;20,"Medium (11-19)","High (&gt;=20)")))</f>
        <v/>
      </c>
    </row>
    <row r="30">
      <c r="G30">
        <f>C30-D30</f>
        <v/>
      </c>
      <c r="H30">
        <f>19.27+0.39*G30-0.21*F30-0.01*E30^2-0.01*D30^2</f>
        <v/>
      </c>
      <c r="I30">
        <f>IF(ISBLANK(H30),"",IF(H30&lt;=10,"Low (&lt;=10)",IF(H30&lt;20,"Medium (11-19)","High (&gt;=20)")))</f>
        <v/>
      </c>
    </row>
    <row r="31">
      <c r="G31">
        <f>C31-D31</f>
        <v/>
      </c>
      <c r="H31">
        <f>19.27+0.39*G31-0.21*F31-0.01*E31^2-0.01*D31^2</f>
        <v/>
      </c>
      <c r="I31">
        <f>IF(ISBLANK(H31),"",IF(H31&lt;=10,"Low (&lt;=10)",IF(H31&lt;20,"Medium (11-19)","High (&gt;=20)")))</f>
        <v/>
      </c>
    </row>
    <row r="32">
      <c r="G32">
        <f>C32-D32</f>
        <v/>
      </c>
      <c r="H32">
        <f>19.27+0.39*G32-0.21*F32-0.01*E32^2-0.01*D32^2</f>
        <v/>
      </c>
      <c r="I32">
        <f>IF(ISBLANK(H32),"",IF(H32&lt;=10,"Low (&lt;=10)",IF(H32&lt;20,"Medium (11-19)","High (&gt;=20)")))</f>
        <v/>
      </c>
    </row>
    <row r="33">
      <c r="G33">
        <f>C33-D33</f>
        <v/>
      </c>
      <c r="H33">
        <f>19.27+0.39*G33-0.21*F33-0.01*E33^2-0.01*D33^2</f>
        <v/>
      </c>
      <c r="I33">
        <f>IF(ISBLANK(H33),"",IF(H33&lt;=10,"Low (&lt;=10)",IF(H33&lt;20,"Medium (11-19)","High (&gt;=20)")))</f>
        <v/>
      </c>
    </row>
    <row r="34">
      <c r="G34">
        <f>C34-D34</f>
        <v/>
      </c>
      <c r="H34">
        <f>19.27+0.39*G34-0.21*F34-0.01*E34^2-0.01*D34^2</f>
        <v/>
      </c>
      <c r="I34">
        <f>IF(ISBLANK(H34),"",IF(H34&lt;=10,"Low (&lt;=10)",IF(H34&lt;20,"Medium (11-19)","High (&gt;=20)")))</f>
        <v/>
      </c>
    </row>
    <row r="35">
      <c r="G35">
        <f>C35-D35</f>
        <v/>
      </c>
      <c r="H35">
        <f>19.27+0.39*G35-0.21*F35-0.01*E35^2-0.01*D35^2</f>
        <v/>
      </c>
      <c r="I35">
        <f>IF(ISBLANK(H35),"",IF(H35&lt;=10,"Low (&lt;=10)",IF(H35&lt;20,"Medium (11-19)","High (&gt;=20)")))</f>
        <v/>
      </c>
    </row>
    <row r="36">
      <c r="G36">
        <f>C36-D36</f>
        <v/>
      </c>
      <c r="H36">
        <f>19.27+0.39*G36-0.21*F36-0.01*E36^2-0.01*D36^2</f>
        <v/>
      </c>
      <c r="I36">
        <f>IF(ISBLANK(H36),"",IF(H36&lt;=10,"Low (&lt;=10)",IF(H36&lt;20,"Medium (11-19)","High (&gt;=20)")))</f>
        <v/>
      </c>
    </row>
    <row r="37">
      <c r="G37">
        <f>C37-D37</f>
        <v/>
      </c>
      <c r="H37">
        <f>19.27+0.39*G37-0.21*F37-0.01*E37^2-0.01*D37^2</f>
        <v/>
      </c>
      <c r="I37">
        <f>IF(ISBLANK(H37),"",IF(H37&lt;=10,"Low (&lt;=10)",IF(H37&lt;20,"Medium (11-19)","High (&gt;=20)")))</f>
        <v/>
      </c>
    </row>
    <row r="38">
      <c r="G38">
        <f>C38-D38</f>
        <v/>
      </c>
      <c r="H38">
        <f>19.27+0.39*G38-0.21*F38-0.01*E38^2-0.01*D38^2</f>
        <v/>
      </c>
      <c r="I38">
        <f>IF(ISBLANK(H38),"",IF(H38&lt;=10,"Low (&lt;=10)",IF(H38&lt;20,"Medium (11-19)","High (&gt;=20)")))</f>
        <v/>
      </c>
    </row>
    <row r="39">
      <c r="G39">
        <f>C39-D39</f>
        <v/>
      </c>
      <c r="H39">
        <f>19.27+0.39*G39-0.21*F39-0.01*E39^2-0.01*D39^2</f>
        <v/>
      </c>
      <c r="I39">
        <f>IF(ISBLANK(H39),"",IF(H39&lt;=10,"Low (&lt;=10)",IF(H39&lt;20,"Medium (11-19)","High (&gt;=20)")))</f>
        <v/>
      </c>
    </row>
    <row r="40">
      <c r="G40">
        <f>C40-D40</f>
        <v/>
      </c>
      <c r="H40">
        <f>19.27+0.39*G40-0.21*F40-0.01*E40^2-0.01*D40^2</f>
        <v/>
      </c>
      <c r="I40">
        <f>IF(ISBLANK(H40),"",IF(H40&lt;=10,"Low (&lt;=10)",IF(H40&lt;20,"Medium (11-19)","High (&gt;=20)")))</f>
        <v/>
      </c>
    </row>
    <row r="41">
      <c r="G41">
        <f>C41-D41</f>
        <v/>
      </c>
      <c r="H41">
        <f>19.27+0.39*G41-0.21*F41-0.01*E41^2-0.01*D41^2</f>
        <v/>
      </c>
      <c r="I41">
        <f>IF(ISBLANK(H41),"",IF(H41&lt;=10,"Low (&lt;=10)",IF(H41&lt;20,"Medium (11-19)","High (&gt;=20)")))</f>
        <v/>
      </c>
    </row>
    <row r="42">
      <c r="G42">
        <f>C42-D42</f>
        <v/>
      </c>
      <c r="H42">
        <f>19.27+0.39*G42-0.21*F42-0.01*E42^2-0.01*D42^2</f>
        <v/>
      </c>
      <c r="I42">
        <f>IF(ISBLANK(H42),"",IF(H42&lt;=10,"Low (&lt;=10)",IF(H42&lt;20,"Medium (11-19)","High (&gt;=20)")))</f>
        <v/>
      </c>
    </row>
    <row r="43">
      <c r="G43">
        <f>C43-D43</f>
        <v/>
      </c>
      <c r="H43">
        <f>19.27+0.39*G43-0.21*F43-0.01*E43^2-0.01*D43^2</f>
        <v/>
      </c>
      <c r="I43">
        <f>IF(ISBLANK(H43),"",IF(H43&lt;=10,"Low (&lt;=10)",IF(H43&lt;20,"Medium (11-19)","High (&gt;=20)")))</f>
        <v/>
      </c>
    </row>
    <row r="44">
      <c r="G44">
        <f>C44-D44</f>
        <v/>
      </c>
      <c r="H44">
        <f>19.27+0.39*G44-0.21*F44-0.01*E44^2-0.01*D44^2</f>
        <v/>
      </c>
      <c r="I44">
        <f>IF(ISBLANK(H44),"",IF(H44&lt;=10,"Low (&lt;=10)",IF(H44&lt;20,"Medium (11-19)","High (&gt;=20)")))</f>
        <v/>
      </c>
    </row>
    <row r="45">
      <c r="G45">
        <f>C45-D45</f>
        <v/>
      </c>
      <c r="H45">
        <f>19.27+0.39*G45-0.21*F45-0.01*E45^2-0.01*D45^2</f>
        <v/>
      </c>
      <c r="I45">
        <f>IF(ISBLANK(H45),"",IF(H45&lt;=10,"Low (&lt;=10)",IF(H45&lt;20,"Medium (11-19)","High (&gt;=20)")))</f>
        <v/>
      </c>
    </row>
    <row r="46">
      <c r="G46">
        <f>C46-D46</f>
        <v/>
      </c>
      <c r="H46">
        <f>19.27+0.39*G46-0.21*F46-0.01*E46^2-0.01*D46^2</f>
        <v/>
      </c>
      <c r="I46">
        <f>IF(ISBLANK(H46),"",IF(H46&lt;=10,"Low (&lt;=10)",IF(H46&lt;20,"Medium (11-19)","High (&gt;=20)")))</f>
        <v/>
      </c>
    </row>
    <row r="47">
      <c r="G47">
        <f>C47-D47</f>
        <v/>
      </c>
      <c r="H47">
        <f>19.27+0.39*G47-0.21*F47-0.01*E47^2-0.01*D47^2</f>
        <v/>
      </c>
      <c r="I47">
        <f>IF(ISBLANK(H47),"",IF(H47&lt;=10,"Low (&lt;=10)",IF(H47&lt;20,"Medium (11-19)","High (&gt;=20)")))</f>
        <v/>
      </c>
    </row>
    <row r="48">
      <c r="G48">
        <f>C48-D48</f>
        <v/>
      </c>
      <c r="H48">
        <f>19.27+0.39*G48-0.21*F48-0.01*E48^2-0.01*D48^2</f>
        <v/>
      </c>
      <c r="I48">
        <f>IF(ISBLANK(H48),"",IF(H48&lt;=10,"Low (&lt;=10)",IF(H48&lt;20,"Medium (11-19)","High (&gt;=20)")))</f>
        <v/>
      </c>
    </row>
    <row r="49">
      <c r="G49">
        <f>C49-D49</f>
        <v/>
      </c>
      <c r="H49">
        <f>19.27+0.39*G49-0.21*F49-0.01*E49^2-0.01*D49^2</f>
        <v/>
      </c>
      <c r="I49">
        <f>IF(ISBLANK(H49),"",IF(H49&lt;=10,"Low (&lt;=10)",IF(H49&lt;20,"Medium (11-19)","High (&gt;=20)")))</f>
        <v/>
      </c>
    </row>
    <row r="50">
      <c r="G50">
        <f>C50-D50</f>
        <v/>
      </c>
      <c r="H50">
        <f>19.27+0.39*G50-0.21*F50-0.01*E50^2-0.01*D50^2</f>
        <v/>
      </c>
      <c r="I50">
        <f>IF(ISBLANK(H50),"",IF(H50&lt;=10,"Low (&lt;=10)",IF(H50&lt;20,"Medium (11-19)","High (&gt;=20)")))</f>
        <v/>
      </c>
    </row>
    <row r="51">
      <c r="G51">
        <f>C51-D51</f>
        <v/>
      </c>
      <c r="H51">
        <f>19.27+0.39*G51-0.21*F51-0.01*E51^2-0.01*D51^2</f>
        <v/>
      </c>
      <c r="I51">
        <f>IF(ISBLANK(H51),"",IF(H51&lt;=10,"Low (&lt;=10)",IF(H51&lt;20,"Medium (11-19)","High (&gt;=20)")))</f>
        <v/>
      </c>
    </row>
    <row r="52">
      <c r="G52">
        <f>C52-D52</f>
        <v/>
      </c>
      <c r="H52">
        <f>19.27+0.39*G52-0.21*F52-0.01*E52^2-0.01*D52^2</f>
        <v/>
      </c>
      <c r="I52">
        <f>IF(ISBLANK(H52),"",IF(H52&lt;=10,"Low (&lt;=10)",IF(H52&lt;20,"Medium (11-19)","High (&gt;=20)")))</f>
        <v/>
      </c>
    </row>
    <row r="53">
      <c r="G53">
        <f>C53-D53</f>
        <v/>
      </c>
      <c r="H53">
        <f>19.27+0.39*G53-0.21*F53-0.01*E53^2-0.01*D53^2</f>
        <v/>
      </c>
      <c r="I53">
        <f>IF(ISBLANK(H53),"",IF(H53&lt;=10,"Low (&lt;=10)",IF(H53&lt;20,"Medium (11-19)","High (&gt;=20)")))</f>
        <v/>
      </c>
    </row>
    <row r="54">
      <c r="G54">
        <f>C54-D54</f>
        <v/>
      </c>
      <c r="H54">
        <f>19.27+0.39*G54-0.21*F54-0.01*E54^2-0.01*D54^2</f>
        <v/>
      </c>
      <c r="I54">
        <f>IF(ISBLANK(H54),"",IF(H54&lt;=10,"Low (&lt;=10)",IF(H54&lt;20,"Medium (11-19)","High (&gt;=20)")))</f>
        <v/>
      </c>
    </row>
    <row r="55">
      <c r="G55">
        <f>C55-D55</f>
        <v/>
      </c>
      <c r="H55">
        <f>19.27+0.39*G55-0.21*F55-0.01*E55^2-0.01*D55^2</f>
        <v/>
      </c>
      <c r="I55">
        <f>IF(ISBLANK(H55),"",IF(H55&lt;=10,"Low (&lt;=10)",IF(H55&lt;20,"Medium (11-19)","High (&gt;=20)")))</f>
        <v/>
      </c>
    </row>
    <row r="56">
      <c r="G56">
        <f>C56-D56</f>
        <v/>
      </c>
      <c r="H56">
        <f>19.27+0.39*G56-0.21*F56-0.01*E56^2-0.01*D56^2</f>
        <v/>
      </c>
      <c r="I56">
        <f>IF(ISBLANK(H56),"",IF(H56&lt;=10,"Low (&lt;=10)",IF(H56&lt;20,"Medium (11-19)","High (&gt;=20)")))</f>
        <v/>
      </c>
    </row>
    <row r="57">
      <c r="G57">
        <f>C57-D57</f>
        <v/>
      </c>
      <c r="H57">
        <f>19.27+0.39*G57-0.21*F57-0.01*E57^2-0.01*D57^2</f>
        <v/>
      </c>
      <c r="I57">
        <f>IF(ISBLANK(H57),"",IF(H57&lt;=10,"Low (&lt;=10)",IF(H57&lt;20,"Medium (11-19)","High (&gt;=20)")))</f>
        <v/>
      </c>
    </row>
    <row r="58">
      <c r="G58">
        <f>C58-D58</f>
        <v/>
      </c>
      <c r="H58">
        <f>19.27+0.39*G58-0.21*F58-0.01*E58^2-0.01*D58^2</f>
        <v/>
      </c>
      <c r="I58">
        <f>IF(ISBLANK(H58),"",IF(H58&lt;=10,"Low (&lt;=10)",IF(H58&lt;20,"Medium (11-19)","High (&gt;=20)")))</f>
        <v/>
      </c>
    </row>
    <row r="59">
      <c r="G59">
        <f>C59-D59</f>
        <v/>
      </c>
      <c r="H59">
        <f>19.27+0.39*G59-0.21*F59-0.01*E59^2-0.01*D59^2</f>
        <v/>
      </c>
      <c r="I59">
        <f>IF(ISBLANK(H59),"",IF(H59&lt;=10,"Low (&lt;=10)",IF(H59&lt;20,"Medium (11-19)","High (&gt;=20)")))</f>
        <v/>
      </c>
    </row>
    <row r="60">
      <c r="G60">
        <f>C60-D60</f>
        <v/>
      </c>
      <c r="H60">
        <f>19.27+0.39*G60-0.21*F60-0.01*E60^2-0.01*D60^2</f>
        <v/>
      </c>
      <c r="I60">
        <f>IF(ISBLANK(H60),"",IF(H60&lt;=10,"Low (&lt;=10)",IF(H60&lt;20,"Medium (11-19)","High (&gt;=20)")))</f>
        <v/>
      </c>
    </row>
    <row r="61">
      <c r="G61">
        <f>C61-D61</f>
        <v/>
      </c>
      <c r="H61">
        <f>19.27+0.39*G61-0.21*F61-0.01*E61^2-0.01*D61^2</f>
        <v/>
      </c>
      <c r="I61">
        <f>IF(ISBLANK(H61),"",IF(H61&lt;=10,"Low (&lt;=10)",IF(H61&lt;20,"Medium (11-19)","High (&gt;=20)")))</f>
        <v/>
      </c>
    </row>
    <row r="62">
      <c r="G62">
        <f>C62-D62</f>
        <v/>
      </c>
      <c r="H62">
        <f>19.27+0.39*G62-0.21*F62-0.01*E62^2-0.01*D62^2</f>
        <v/>
      </c>
      <c r="I62">
        <f>IF(ISBLANK(H62),"",IF(H62&lt;=10,"Low (&lt;=10)",IF(H62&lt;20,"Medium (11-19)","High (&gt;=20)")))</f>
        <v/>
      </c>
    </row>
    <row r="63">
      <c r="G63">
        <f>C63-D63</f>
        <v/>
      </c>
      <c r="H63">
        <f>19.27+0.39*G63-0.21*F63-0.01*E63^2-0.01*D63^2</f>
        <v/>
      </c>
      <c r="I63">
        <f>IF(ISBLANK(H63),"",IF(H63&lt;=10,"Low (&lt;=10)",IF(H63&lt;20,"Medium (11-19)","High (&gt;=20)")))</f>
        <v/>
      </c>
    </row>
    <row r="64">
      <c r="G64">
        <f>C64-D64</f>
        <v/>
      </c>
      <c r="H64">
        <f>19.27+0.39*G64-0.21*F64-0.01*E64^2-0.01*D64^2</f>
        <v/>
      </c>
      <c r="I64">
        <f>IF(ISBLANK(H64),"",IF(H64&lt;=10,"Low (&lt;=10)",IF(H64&lt;20,"Medium (11-19)","High (&gt;=20)")))</f>
        <v/>
      </c>
    </row>
    <row r="65">
      <c r="G65">
        <f>C65-D65</f>
        <v/>
      </c>
      <c r="H65">
        <f>19.27+0.39*G65-0.21*F65-0.01*E65^2-0.01*D65^2</f>
        <v/>
      </c>
      <c r="I65">
        <f>IF(ISBLANK(H65),"",IF(H65&lt;=10,"Low (&lt;=10)",IF(H65&lt;20,"Medium (11-19)","High (&gt;=20)")))</f>
        <v/>
      </c>
    </row>
    <row r="66">
      <c r="G66">
        <f>C66-D66</f>
        <v/>
      </c>
      <c r="H66">
        <f>19.27+0.39*G66-0.21*F66-0.01*E66^2-0.01*D66^2</f>
        <v/>
      </c>
      <c r="I66">
        <f>IF(ISBLANK(H66),"",IF(H66&lt;=10,"Low (&lt;=10)",IF(H66&lt;20,"Medium (11-19)","High (&gt;=20)")))</f>
        <v/>
      </c>
    </row>
    <row r="67">
      <c r="G67">
        <f>C67-D67</f>
        <v/>
      </c>
      <c r="H67">
        <f>19.27+0.39*G67-0.21*F67-0.01*E67^2-0.01*D67^2</f>
        <v/>
      </c>
      <c r="I67">
        <f>IF(ISBLANK(H67),"",IF(H67&lt;=10,"Low (&lt;=10)",IF(H67&lt;20,"Medium (11-19)","High (&gt;=20)")))</f>
        <v/>
      </c>
    </row>
    <row r="68">
      <c r="G68">
        <f>C68-D68</f>
        <v/>
      </c>
      <c r="H68">
        <f>19.27+0.39*G68-0.21*F68-0.01*E68^2-0.01*D68^2</f>
        <v/>
      </c>
      <c r="I68">
        <f>IF(ISBLANK(H68),"",IF(H68&lt;=10,"Low (&lt;=10)",IF(H68&lt;20,"Medium (11-19)","High (&gt;=20)")))</f>
        <v/>
      </c>
    </row>
    <row r="69">
      <c r="G69">
        <f>C69-D69</f>
        <v/>
      </c>
      <c r="H69">
        <f>19.27+0.39*G69-0.21*F69-0.01*E69^2-0.01*D69^2</f>
        <v/>
      </c>
      <c r="I69">
        <f>IF(ISBLANK(H69),"",IF(H69&lt;=10,"Low (&lt;=10)",IF(H69&lt;20,"Medium (11-19)","High (&gt;=20)")))</f>
        <v/>
      </c>
    </row>
    <row r="70">
      <c r="G70">
        <f>C70-D70</f>
        <v/>
      </c>
      <c r="H70">
        <f>19.27+0.39*G70-0.21*F70-0.01*E70^2-0.01*D70^2</f>
        <v/>
      </c>
      <c r="I70">
        <f>IF(ISBLANK(H70),"",IF(H70&lt;=10,"Low (&lt;=10)",IF(H70&lt;20,"Medium (11-19)","High (&gt;=20)")))</f>
        <v/>
      </c>
    </row>
    <row r="71">
      <c r="G71">
        <f>C71-D71</f>
        <v/>
      </c>
      <c r="H71">
        <f>19.27+0.39*G71-0.21*F71-0.01*E71^2-0.01*D71^2</f>
        <v/>
      </c>
      <c r="I71">
        <f>IF(ISBLANK(H71),"",IF(H71&lt;=10,"Low (&lt;=10)",IF(H71&lt;20,"Medium (11-19)","High (&gt;=20)")))</f>
        <v/>
      </c>
    </row>
    <row r="72">
      <c r="G72">
        <f>C72-D72</f>
        <v/>
      </c>
      <c r="H72">
        <f>19.27+0.39*G72-0.21*F72-0.01*E72^2-0.01*D72^2</f>
        <v/>
      </c>
      <c r="I72">
        <f>IF(ISBLANK(H72),"",IF(H72&lt;=10,"Low (&lt;=10)",IF(H72&lt;20,"Medium (11-19)","High (&gt;=20)")))</f>
        <v/>
      </c>
    </row>
    <row r="73">
      <c r="G73">
        <f>C73-D73</f>
        <v/>
      </c>
      <c r="H73">
        <f>19.27+0.39*G73-0.21*F73-0.01*E73^2-0.01*D73^2</f>
        <v/>
      </c>
      <c r="I73">
        <f>IF(ISBLANK(H73),"",IF(H73&lt;=10,"Low (&lt;=10)",IF(H73&lt;20,"Medium (11-19)","High (&gt;=20)")))</f>
        <v/>
      </c>
    </row>
    <row r="74">
      <c r="G74">
        <f>C74-D74</f>
        <v/>
      </c>
      <c r="H74">
        <f>19.27+0.39*G74-0.21*F74-0.01*E74^2-0.01*D74^2</f>
        <v/>
      </c>
      <c r="I74">
        <f>IF(ISBLANK(H74),"",IF(H74&lt;=10,"Low (&lt;=10)",IF(H74&lt;20,"Medium (11-19)","High (&gt;=20)")))</f>
        <v/>
      </c>
    </row>
    <row r="75">
      <c r="G75">
        <f>C75-D75</f>
        <v/>
      </c>
      <c r="H75">
        <f>19.27+0.39*G75-0.21*F75-0.01*E75^2-0.01*D75^2</f>
        <v/>
      </c>
      <c r="I75">
        <f>IF(ISBLANK(H75),"",IF(H75&lt;=10,"Low (&lt;=10)",IF(H75&lt;20,"Medium (11-19)","High (&gt;=20)")))</f>
        <v/>
      </c>
    </row>
    <row r="76">
      <c r="G76">
        <f>C76-D76</f>
        <v/>
      </c>
      <c r="H76">
        <f>19.27+0.39*G76-0.21*F76-0.01*E76^2-0.01*D76^2</f>
        <v/>
      </c>
      <c r="I76">
        <f>IF(ISBLANK(H76),"",IF(H76&lt;=10,"Low (&lt;=10)",IF(H76&lt;20,"Medium (11-19)","High (&gt;=20)")))</f>
        <v/>
      </c>
    </row>
    <row r="77">
      <c r="G77">
        <f>C77-D77</f>
        <v/>
      </c>
      <c r="H77">
        <f>19.27+0.39*G77-0.21*F77-0.01*E77^2-0.01*D77^2</f>
        <v/>
      </c>
      <c r="I77">
        <f>IF(ISBLANK(H77),"",IF(H77&lt;=10,"Low (&lt;=10)",IF(H77&lt;20,"Medium (11-19)","High (&gt;=20)")))</f>
        <v/>
      </c>
    </row>
    <row r="78">
      <c r="G78">
        <f>C78-D78</f>
        <v/>
      </c>
      <c r="H78">
        <f>19.27+0.39*G78-0.21*F78-0.01*E78^2-0.01*D78^2</f>
        <v/>
      </c>
      <c r="I78">
        <f>IF(ISBLANK(H78),"",IF(H78&lt;=10,"Low (&lt;=10)",IF(H78&lt;20,"Medium (11-19)","High (&gt;=20)")))</f>
        <v/>
      </c>
    </row>
    <row r="79">
      <c r="G79">
        <f>C79-D79</f>
        <v/>
      </c>
      <c r="H79">
        <f>19.27+0.39*G79-0.21*F79-0.01*E79^2-0.01*D79^2</f>
        <v/>
      </c>
      <c r="I79">
        <f>IF(ISBLANK(H79),"",IF(H79&lt;=10,"Low (&lt;=10)",IF(H79&lt;20,"Medium (11-19)","High (&gt;=20)")))</f>
        <v/>
      </c>
    </row>
    <row r="80">
      <c r="G80">
        <f>C80-D80</f>
        <v/>
      </c>
      <c r="H80">
        <f>19.27+0.39*G80-0.21*F80-0.01*E80^2-0.01*D80^2</f>
        <v/>
      </c>
      <c r="I80">
        <f>IF(ISBLANK(H80),"",IF(H80&lt;=10,"Low (&lt;=10)",IF(H80&lt;20,"Medium (11-19)","High (&gt;=20)")))</f>
        <v/>
      </c>
    </row>
    <row r="81">
      <c r="G81">
        <f>C81-D81</f>
        <v/>
      </c>
      <c r="H81">
        <f>19.27+0.39*G81-0.21*F81-0.01*E81^2-0.01*D81^2</f>
        <v/>
      </c>
      <c r="I81">
        <f>IF(ISBLANK(H81),"",IF(H81&lt;=10,"Low (&lt;=10)",IF(H81&lt;20,"Medium (11-19)","High (&gt;=20)")))</f>
        <v/>
      </c>
    </row>
    <row r="82">
      <c r="G82">
        <f>C82-D82</f>
        <v/>
      </c>
      <c r="H82">
        <f>19.27+0.39*G82-0.21*F82-0.01*E82^2-0.01*D82^2</f>
        <v/>
      </c>
      <c r="I82">
        <f>IF(ISBLANK(H82),"",IF(H82&lt;=10,"Low (&lt;=10)",IF(H82&lt;20,"Medium (11-19)","High (&gt;=20)")))</f>
        <v/>
      </c>
    </row>
    <row r="83">
      <c r="G83">
        <f>C83-D83</f>
        <v/>
      </c>
      <c r="H83">
        <f>19.27+0.39*G83-0.21*F83-0.01*E83^2-0.01*D83^2</f>
        <v/>
      </c>
      <c r="I83">
        <f>IF(ISBLANK(H83),"",IF(H83&lt;=10,"Low (&lt;=10)",IF(H83&lt;20,"Medium (11-19)","High (&gt;=20)")))</f>
        <v/>
      </c>
    </row>
    <row r="84">
      <c r="G84">
        <f>C84-D84</f>
        <v/>
      </c>
      <c r="H84">
        <f>19.27+0.39*G84-0.21*F84-0.01*E84^2-0.01*D84^2</f>
        <v/>
      </c>
      <c r="I84">
        <f>IF(ISBLANK(H84),"",IF(H84&lt;=10,"Low (&lt;=10)",IF(H84&lt;20,"Medium (11-19)","High (&gt;=20)")))</f>
        <v/>
      </c>
    </row>
    <row r="85">
      <c r="G85">
        <f>C85-D85</f>
        <v/>
      </c>
      <c r="H85">
        <f>19.27+0.39*G85-0.21*F85-0.01*E85^2-0.01*D85^2</f>
        <v/>
      </c>
      <c r="I85">
        <f>IF(ISBLANK(H85),"",IF(H85&lt;=10,"Low (&lt;=10)",IF(H85&lt;20,"Medium (11-19)","High (&gt;=20)")))</f>
        <v/>
      </c>
    </row>
    <row r="86">
      <c r="G86">
        <f>C86-D86</f>
        <v/>
      </c>
      <c r="H86">
        <f>19.27+0.39*G86-0.21*F86-0.01*E86^2-0.01*D86^2</f>
        <v/>
      </c>
      <c r="I86">
        <f>IF(ISBLANK(H86),"",IF(H86&lt;=10,"Low (&lt;=10)",IF(H86&lt;20,"Medium (11-19)","High (&gt;=20)")))</f>
        <v/>
      </c>
    </row>
    <row r="87">
      <c r="G87">
        <f>C87-D87</f>
        <v/>
      </c>
      <c r="H87">
        <f>19.27+0.39*G87-0.21*F87-0.01*E87^2-0.01*D87^2</f>
        <v/>
      </c>
      <c r="I87">
        <f>IF(ISBLANK(H87),"",IF(H87&lt;=10,"Low (&lt;=10)",IF(H87&lt;20,"Medium (11-19)","High (&gt;=20)")))</f>
        <v/>
      </c>
    </row>
    <row r="88">
      <c r="G88">
        <f>C88-D88</f>
        <v/>
      </c>
      <c r="H88">
        <f>19.27+0.39*G88-0.21*F88-0.01*E88^2-0.01*D88^2</f>
        <v/>
      </c>
      <c r="I88">
        <f>IF(ISBLANK(H88),"",IF(H88&lt;=10,"Low (&lt;=10)",IF(H88&lt;20,"Medium (11-19)","High (&gt;=20)")))</f>
        <v/>
      </c>
    </row>
    <row r="89">
      <c r="G89">
        <f>C89-D89</f>
        <v/>
      </c>
      <c r="H89">
        <f>19.27+0.39*G89-0.21*F89-0.01*E89^2-0.01*D89^2</f>
        <v/>
      </c>
      <c r="I89">
        <f>IF(ISBLANK(H89),"",IF(H89&lt;=10,"Low (&lt;=10)",IF(H89&lt;20,"Medium (11-19)","High (&gt;=20)")))</f>
        <v/>
      </c>
    </row>
    <row r="90">
      <c r="G90">
        <f>C90-D90</f>
        <v/>
      </c>
      <c r="H90">
        <f>19.27+0.39*G90-0.21*F90-0.01*E90^2-0.01*D90^2</f>
        <v/>
      </c>
      <c r="I90">
        <f>IF(ISBLANK(H90),"",IF(H90&lt;=10,"Low (&lt;=10)",IF(H90&lt;20,"Medium (11-19)","High (&gt;=20)")))</f>
        <v/>
      </c>
    </row>
    <row r="91">
      <c r="G91">
        <f>C91-D91</f>
        <v/>
      </c>
      <c r="H91">
        <f>19.27+0.39*G91-0.21*F91-0.01*E91^2-0.01*D91^2</f>
        <v/>
      </c>
      <c r="I91">
        <f>IF(ISBLANK(H91),"",IF(H91&lt;=10,"Low (&lt;=10)",IF(H91&lt;20,"Medium (11-19)","High (&gt;=20)")))</f>
        <v/>
      </c>
    </row>
    <row r="92">
      <c r="G92">
        <f>C92-D92</f>
        <v/>
      </c>
      <c r="H92">
        <f>19.27+0.39*G92-0.21*F92-0.01*E92^2-0.01*D92^2</f>
        <v/>
      </c>
      <c r="I92">
        <f>IF(ISBLANK(H92),"",IF(H92&lt;=10,"Low (&lt;=10)",IF(H92&lt;20,"Medium (11-19)","High (&gt;=20)")))</f>
        <v/>
      </c>
    </row>
    <row r="93">
      <c r="G93">
        <f>C93-D93</f>
        <v/>
      </c>
      <c r="H93">
        <f>19.27+0.39*G93-0.21*F93-0.01*E93^2-0.01*D93^2</f>
        <v/>
      </c>
      <c r="I93">
        <f>IF(ISBLANK(H93),"",IF(H93&lt;=10,"Low (&lt;=10)",IF(H93&lt;20,"Medium (11-19)","High (&gt;=20)")))</f>
        <v/>
      </c>
    </row>
    <row r="94">
      <c r="G94">
        <f>C94-D94</f>
        <v/>
      </c>
      <c r="H94">
        <f>19.27+0.39*G94-0.21*F94-0.01*E94^2-0.01*D94^2</f>
        <v/>
      </c>
      <c r="I94">
        <f>IF(ISBLANK(H94),"",IF(H94&lt;=10,"Low (&lt;=10)",IF(H94&lt;20,"Medium (11-19)","High (&gt;=20)")))</f>
        <v/>
      </c>
    </row>
    <row r="95">
      <c r="G95">
        <f>C95-D95</f>
        <v/>
      </c>
      <c r="H95">
        <f>19.27+0.39*G95-0.21*F95-0.01*E95^2-0.01*D95^2</f>
        <v/>
      </c>
      <c r="I95">
        <f>IF(ISBLANK(H95),"",IF(H95&lt;=10,"Low (&lt;=10)",IF(H95&lt;20,"Medium (11-19)","High (&gt;=20)")))</f>
        <v/>
      </c>
    </row>
    <row r="96">
      <c r="G96">
        <f>C96-D96</f>
        <v/>
      </c>
      <c r="H96">
        <f>19.27+0.39*G96-0.21*F96-0.01*E96^2-0.01*D96^2</f>
        <v/>
      </c>
      <c r="I96">
        <f>IF(ISBLANK(H96),"",IF(H96&lt;=10,"Low (&lt;=10)",IF(H96&lt;20,"Medium (11-19)","High (&gt;=20)")))</f>
        <v/>
      </c>
    </row>
    <row r="97">
      <c r="G97">
        <f>C97-D97</f>
        <v/>
      </c>
      <c r="H97">
        <f>19.27+0.39*G97-0.21*F97-0.01*E97^2-0.01*D97^2</f>
        <v/>
      </c>
      <c r="I97">
        <f>IF(ISBLANK(H97),"",IF(H97&lt;=10,"Low (&lt;=10)",IF(H97&lt;20,"Medium (11-19)","High (&gt;=20)")))</f>
        <v/>
      </c>
    </row>
    <row r="98">
      <c r="G98">
        <f>C98-D98</f>
        <v/>
      </c>
      <c r="H98">
        <f>19.27+0.39*G98-0.21*F98-0.01*E98^2-0.01*D98^2</f>
        <v/>
      </c>
      <c r="I98">
        <f>IF(ISBLANK(H98),"",IF(H98&lt;=10,"Low (&lt;=10)",IF(H98&lt;20,"Medium (11-19)","High (&gt;=20)")))</f>
        <v/>
      </c>
    </row>
    <row r="99">
      <c r="G99">
        <f>C99-D99</f>
        <v/>
      </c>
      <c r="H99">
        <f>19.27+0.39*G99-0.21*F99-0.01*E99^2-0.01*D99^2</f>
        <v/>
      </c>
      <c r="I99">
        <f>IF(ISBLANK(H99),"",IF(H99&lt;=10,"Low (&lt;=10)",IF(H99&lt;20,"Medium (11-19)","High (&gt;=20)")))</f>
        <v/>
      </c>
    </row>
    <row r="100">
      <c r="G100">
        <f>C100-D100</f>
        <v/>
      </c>
      <c r="H100">
        <f>19.27+0.39*G100-0.21*F100-0.01*E100^2-0.01*D100^2</f>
        <v/>
      </c>
      <c r="I100">
        <f>IF(ISBLANK(H100),"",IF(H100&lt;=10,"Low (&lt;=10)",IF(H100&lt;20,"Medium (11-19)","High (&gt;=20)")))</f>
        <v/>
      </c>
    </row>
    <row r="101">
      <c r="G101">
        <f>C101-D101</f>
        <v/>
      </c>
      <c r="H101">
        <f>19.27+0.39*G101-0.21*F101-0.01*E101^2-0.01*D101^2</f>
        <v/>
      </c>
      <c r="I101">
        <f>IF(ISBLANK(H101),"",IF(H101&lt;=10,"Low (&lt;=10)",IF(H101&lt;20,"Medium (11-19)","High (&gt;=20)")))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eGL (estimated Glycemic Load) template — Foods 2021 RTE model</t>
        </is>
      </c>
    </row>
    <row r="3">
      <c r="A3" t="inlineStr">
        <is>
          <t>Equation</t>
        </is>
      </c>
      <c r="B3" t="inlineStr">
        <is>
          <t>GL = 19.27 + 0.39*AvailableCarbs_g - 0.21*Fat_g - 0.01*Protein_g^2 - 0.01*Fiber_g^2</t>
        </is>
      </c>
    </row>
    <row r="5">
      <c r="A5" t="inlineStr">
        <is>
          <t>AvailableCarbs_g</t>
        </is>
      </c>
      <c r="B5" t="inlineStr">
        <is>
          <t>Carbs_g - Fiber_g</t>
        </is>
      </c>
    </row>
    <row r="7">
      <c r="A7" t="inlineStr">
        <is>
          <t>GL Category</t>
        </is>
      </c>
      <c r="B7" t="inlineStr">
        <is>
          <t>Low (&lt;=10), Medium (11-19), High (&gt;=20)</t>
        </is>
      </c>
    </row>
    <row r="9">
      <c r="A9" t="inlineStr">
        <is>
          <t>Notes</t>
        </is>
      </c>
      <c r="B9" t="inlineStr">
        <is>
          <t>This equation was published for ready-to-eat (mixed) meals and externally validated on market fast foods. Use as a label-based approximation; performance depends on food types. Do not use for medical dosing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2025-11-18T10:16:25Z</dcterms:created>
  <dcterms:modified xmlns:dcterms="http://purl.org/dc/terms/" xmlns:xsi="http://www.w3.org/2001/XMLSchema-instance" xsi:type="dcterms:W3CDTF">2025-11-18T10:16:25Z</dcterms:modified>
</cp:coreProperties>
</file>